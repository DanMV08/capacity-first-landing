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real" sheetId="1" state="visible" r:id="rId1"/>
    <sheet xmlns:r="http://schemas.openxmlformats.org/officeDocument/2006/relationships" name="Plan objetivo 10%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;(&quot;$&quot;#,##0.00);&quot;-&quot;"/>
    <numFmt numFmtId="165" formatCode="0.00%;(0.00%);&quot;-&quot;"/>
    <numFmt numFmtId="166" formatCode="dd/mm/yyyy"/>
    <numFmt numFmtId="167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1F3B4D"/>
      <sz val="14"/>
    </font>
    <font>
      <name val="Arial"/>
      <i val="1"/>
      <color rgb="00555555"/>
      <sz val="10"/>
    </font>
    <font>
      <name val="Arial"/>
      <b val="1"/>
      <color rgb="00333333"/>
      <sz val="10"/>
    </font>
    <font>
      <name val="Arial"/>
      <color rgb="000000FF"/>
      <sz val="10"/>
    </font>
    <font>
      <name val="Arial"/>
      <b val="1"/>
      <color rgb="002E8B8B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B7791F"/>
      <sz val="11"/>
    </font>
    <font>
      <name val="Arial"/>
      <b val="1"/>
      <color rgb="001F3B4D"/>
      <sz val="11"/>
    </font>
    <font>
      <name val="Arial"/>
      <color rgb="00444444"/>
      <sz val="9"/>
    </font>
    <font>
      <name val="Arial"/>
      <color rgb="00008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F3B4D"/>
      </patternFill>
    </fill>
    <fill>
      <patternFill patternType="solid">
        <fgColor rgb="00F2F6F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4" fillId="2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9" fillId="0" borderId="0" pivotButton="0" quotePrefix="0" xfId="0"/>
    <xf numFmtId="164" fontId="5" fillId="0" borderId="0" applyAlignment="1" pivotButton="0" quotePrefix="0" xfId="0">
      <alignment horizontal="right" vertical="center"/>
    </xf>
    <xf numFmtId="1" fontId="6" fillId="0" borderId="0" applyAlignment="1" pivotButton="0" quotePrefix="0" xfId="0">
      <alignment horizontal="right" vertical="center"/>
    </xf>
    <xf numFmtId="0" fontId="3" fillId="0" borderId="0" pivotButton="0" quotePrefix="0" xfId="0"/>
    <xf numFmtId="2" fontId="4" fillId="2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2" fillId="0" borderId="0" pivotButton="0" quotePrefix="0" xfId="0"/>
    <xf numFmtId="166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pivotButton="0" quotePrefix="0" xfId="0"/>
    <xf numFmtId="167" fontId="4" fillId="2" borderId="0" applyAlignment="1" pivotButton="0" quotePrefix="0" xfId="0">
      <alignment horizontal="right" vertical="center"/>
    </xf>
    <xf numFmtId="164" fontId="12" fillId="0" borderId="0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center" vertical="center"/>
    </xf>
    <xf numFmtId="164" fontId="13" fillId="4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ill>
        <patternFill patternType="solid">
          <fgColor rgb="00D4EDDA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Plan</author>
  </authors>
  <commentList>
    <comment ref="B4" authorId="0" shapeId="0">
      <text>
        <t>Edita aqui tu capital de arranque. Todo lo demas se recalcula.</t>
      </text>
    </comment>
    <comment ref="E8" authorId="0" shapeId="0">
      <text>
        <t>Rendimiento del contrato = (precio venta - precio compra) / precio compra.
Usa la calculadora de la derecha (columna L) si quieres.</t>
      </text>
    </comment>
    <comment ref="H8" authorId="0" shapeId="0">
      <text>
        <t>Ganancia del dia sobre el capital que tenias antes de la operacion. Aqui comparas contra el 10% objetivo.</t>
      </text>
    </comment>
    <comment ref="E9" authorId="0" shapeId="0">
      <text>
        <t>IWM 87 -&gt; 90</t>
      </text>
    </comment>
    <comment ref="E10" authorId="0" shapeId="0">
      <text>
        <t>IWM 75 -&gt; 85</t>
      </text>
    </comment>
    <comment ref="E11" authorId="0" shapeId="0">
      <text>
        <t>NVDA 90 -&gt; 94</t>
      </text>
    </comment>
    <comment ref="E12" authorId="0" shapeId="0">
      <text>
        <t>NFLX 56 -&gt; 70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9" customWidth="1" min="4" max="4"/>
    <col width="13" customWidth="1" min="5" max="5"/>
    <col width="13" customWidth="1" min="6" max="6"/>
    <col width="13" customWidth="1" min="7" max="7"/>
    <col width="12" customWidth="1" min="8" max="8"/>
    <col width="15" customWidth="1" min="9" max="9"/>
    <col width="13" customWidth="1" min="10" max="10"/>
    <col width="2" customWidth="1" min="11" max="11"/>
    <col width="15" customWidth="1" min="12" max="12"/>
    <col width="12" customWidth="1" min="13" max="13"/>
  </cols>
  <sheetData>
    <row r="1">
      <c r="A1" s="1" t="inlineStr">
        <is>
          <t>PLAN DE INVERSION EN OPCIONES  ·  Registro diario</t>
        </is>
      </c>
    </row>
    <row r="2">
      <c r="A2" s="2" t="inlineStr">
        <is>
          <t>Objetivo: crecer 10% cada dia de operacion (lun-vie). El BALANCE es la fuente de verdad; el resto se calcula solo.</t>
        </is>
      </c>
    </row>
    <row r="3"/>
    <row r="4">
      <c r="A4" s="3" t="inlineStr">
        <is>
          <t>Capital inicial</t>
        </is>
      </c>
      <c r="B4" s="4" t="n">
        <v>100</v>
      </c>
      <c r="D4" s="3" t="inlineStr">
        <is>
          <t>Rendimiento total</t>
        </is>
      </c>
      <c r="E4" s="5">
        <f>B6/B4</f>
        <v/>
      </c>
      <c r="L4" s="6" t="inlineStr">
        <is>
          <t>Calculadora de %</t>
        </is>
      </c>
    </row>
    <row r="5">
      <c r="A5" s="3" t="inlineStr">
        <is>
          <t>Balance actual</t>
        </is>
      </c>
      <c r="B5" s="7">
        <f>B4+SUM(F9:F58)</f>
        <v/>
      </c>
      <c r="D5" s="3" t="inlineStr">
        <is>
          <t>Dias operados</t>
        </is>
      </c>
      <c r="E5" s="8">
        <f>IFERROR(MAX(C9:C58),0)</f>
        <v/>
      </c>
      <c r="L5" s="9" t="inlineStr">
        <is>
          <t>Precio compra</t>
        </is>
      </c>
      <c r="M5" s="10" t="n">
        <v>87</v>
      </c>
    </row>
    <row r="6">
      <c r="A6" s="3" t="inlineStr">
        <is>
          <t>Ganancia total</t>
        </is>
      </c>
      <c r="B6" s="11">
        <f>SUM(F9:F58)</f>
        <v/>
      </c>
      <c r="D6" s="3" t="inlineStr">
        <is>
          <t>Operaciones</t>
        </is>
      </c>
      <c r="E6" s="8">
        <f>COUNTA(D9:D58)</f>
        <v/>
      </c>
      <c r="L6" s="9" t="inlineStr">
        <is>
          <t>Precio venta</t>
        </is>
      </c>
      <c r="M6" s="10" t="n">
        <v>90</v>
      </c>
    </row>
    <row r="7">
      <c r="L7" s="9" t="inlineStr">
        <is>
          <t>Rend. %</t>
        </is>
      </c>
      <c r="M7" s="5">
        <f>IF(M5=0,"",(M6-M5)/M5)</f>
        <v/>
      </c>
    </row>
    <row r="8">
      <c r="A8" s="12" t="inlineStr">
        <is>
          <t>Fecha</t>
        </is>
      </c>
      <c r="B8" s="12" t="inlineStr">
        <is>
          <t>Op #</t>
        </is>
      </c>
      <c r="C8" s="12" t="inlineStr">
        <is>
          <t>Dia op.</t>
        </is>
      </c>
      <c r="D8" s="12" t="inlineStr">
        <is>
          <t>Activo</t>
        </is>
      </c>
      <c r="E8" s="12" t="inlineStr">
        <is>
          <t>Rend. trade %</t>
        </is>
      </c>
      <c r="F8" s="12" t="inlineStr">
        <is>
          <t>Ganancia ($)</t>
        </is>
      </c>
      <c r="G8" s="12" t="inlineStr">
        <is>
          <t>Balance</t>
        </is>
      </c>
      <c r="H8" s="12" t="inlineStr">
        <is>
          <t>% s/ capital</t>
        </is>
      </c>
      <c r="I8" s="12" t="inlineStr">
        <is>
          <t>Balance objetivo</t>
        </is>
      </c>
      <c r="J8" s="12" t="inlineStr">
        <is>
          <t>Dif. vs plan</t>
        </is>
      </c>
      <c r="L8" s="13" t="inlineStr">
        <is>
          <t>Escribe compra y venta; copia el % a la tabla.</t>
        </is>
      </c>
    </row>
    <row r="9">
      <c r="A9" s="14" t="n">
        <v>46218</v>
      </c>
      <c r="B9" s="15" t="n">
        <v>1</v>
      </c>
      <c r="C9" s="15" t="n">
        <v>1</v>
      </c>
      <c r="D9" s="15" t="inlineStr">
        <is>
          <t>IWM</t>
        </is>
      </c>
      <c r="E9" s="16" t="n">
        <v>0.03448275862068965</v>
      </c>
      <c r="F9" s="17" t="n">
        <v>3</v>
      </c>
      <c r="G9" s="18">
        <f>IF(F9="","",$B$4+SUM($F$9:F9))</f>
        <v/>
      </c>
      <c r="H9" s="19">
        <f>IF(F9="","",F9/(G9-F9))</f>
        <v/>
      </c>
      <c r="I9" s="20">
        <f>IF(C9="","",IFERROR(VLOOKUP(C9,'Plan objetivo 10%'!$A:$C,3,FALSE),""))</f>
        <v/>
      </c>
      <c r="J9" s="20">
        <f>IF(OR(G9="",I9=""),"",G9-I9)</f>
        <v/>
      </c>
    </row>
    <row r="10">
      <c r="A10" s="21" t="n">
        <v>46219</v>
      </c>
      <c r="B10" s="22" t="n">
        <v>2</v>
      </c>
      <c r="C10" s="22" t="n">
        <v>2</v>
      </c>
      <c r="D10" s="22" t="inlineStr">
        <is>
          <t>IWM</t>
        </is>
      </c>
      <c r="E10" s="23" t="n">
        <v>0.1333333333333333</v>
      </c>
      <c r="F10" s="24" t="n">
        <v>10</v>
      </c>
      <c r="G10" s="25">
        <f>IF(F10="","",$B$4+SUM($F$9:F10))</f>
        <v/>
      </c>
      <c r="H10" s="26">
        <f>IF(F10="","",F10/(G10-F10))</f>
        <v/>
      </c>
      <c r="I10" s="27">
        <f>IF(C10="","",IFERROR(VLOOKUP(C10,'Plan objetivo 10%'!$A:$C,3,FALSE),""))</f>
        <v/>
      </c>
      <c r="J10" s="27">
        <f>IF(OR(G10="",I10=""),"",G10-I10)</f>
        <v/>
      </c>
    </row>
    <row r="11">
      <c r="A11" s="14" t="n">
        <v>46220</v>
      </c>
      <c r="B11" s="15" t="n">
        <v>3</v>
      </c>
      <c r="C11" s="15" t="n">
        <v>3</v>
      </c>
      <c r="D11" s="15" t="inlineStr">
        <is>
          <t>NVDA</t>
        </is>
      </c>
      <c r="E11" s="16" t="n">
        <v>0.04444444444444445</v>
      </c>
      <c r="F11" s="17" t="n">
        <v>4</v>
      </c>
      <c r="G11" s="18">
        <f>IF(F11="","",$B$4+SUM($F$9:F11))</f>
        <v/>
      </c>
      <c r="H11" s="19">
        <f>IF(F11="","",F11/(G11-F11))</f>
        <v/>
      </c>
      <c r="I11" s="20">
        <f>IF(C11="","",IFERROR(VLOOKUP(C11,'Plan objetivo 10%'!$A:$C,3,FALSE),""))</f>
        <v/>
      </c>
      <c r="J11" s="20">
        <f>IF(OR(G11="",I11=""),"",G11-I11)</f>
        <v/>
      </c>
    </row>
    <row r="12">
      <c r="A12" s="21" t="n">
        <v>46220</v>
      </c>
      <c r="B12" s="22" t="n">
        <v>4</v>
      </c>
      <c r="C12" s="22" t="n">
        <v>3</v>
      </c>
      <c r="D12" s="22" t="inlineStr">
        <is>
          <t>NFLX</t>
        </is>
      </c>
      <c r="E12" s="23" t="n">
        <v>0.25</v>
      </c>
      <c r="F12" s="24" t="n">
        <v>14</v>
      </c>
      <c r="G12" s="25">
        <f>IF(F12="","",$B$4+SUM($F$9:F12))</f>
        <v/>
      </c>
      <c r="H12" s="26">
        <f>IF(F12="","",F12/(G12-F12))</f>
        <v/>
      </c>
      <c r="I12" s="27">
        <f>IF(C12="","",IFERROR(VLOOKUP(C12,'Plan objetivo 10%'!$A:$C,3,FALSE),""))</f>
        <v/>
      </c>
      <c r="J12" s="27">
        <f>IF(OR(G12="",I12=""),"",G12-I12)</f>
        <v/>
      </c>
    </row>
    <row r="13">
      <c r="A13" s="14" t="n"/>
      <c r="B13" s="15" t="n"/>
      <c r="C13" s="15" t="n"/>
      <c r="D13" s="15" t="n"/>
      <c r="E13" s="16" t="n"/>
      <c r="F13" s="17" t="n"/>
      <c r="G13" s="18">
        <f>IF(F13="","",$B$4+SUM($F$9:F13))</f>
        <v/>
      </c>
      <c r="H13" s="19">
        <f>IF(F13="","",F13/(G13-F13))</f>
        <v/>
      </c>
      <c r="I13" s="20">
        <f>IF(C13="","",IFERROR(VLOOKUP(C13,'Plan objetivo 10%'!$A:$C,3,FALSE),""))</f>
        <v/>
      </c>
      <c r="J13" s="20">
        <f>IF(OR(G13="",I13=""),"",G13-I13)</f>
        <v/>
      </c>
    </row>
    <row r="14">
      <c r="A14" s="21" t="n"/>
      <c r="B14" s="22" t="n"/>
      <c r="C14" s="22" t="n"/>
      <c r="D14" s="22" t="n"/>
      <c r="E14" s="23" t="n"/>
      <c r="F14" s="24" t="n"/>
      <c r="G14" s="25">
        <f>IF(F14="","",$B$4+SUM($F$9:F14))</f>
        <v/>
      </c>
      <c r="H14" s="26">
        <f>IF(F14="","",F14/(G14-F14))</f>
        <v/>
      </c>
      <c r="I14" s="27">
        <f>IF(C14="","",IFERROR(VLOOKUP(C14,'Plan objetivo 10%'!$A:$C,3,FALSE),""))</f>
        <v/>
      </c>
      <c r="J14" s="27">
        <f>IF(OR(G14="",I14=""),"",G14-I14)</f>
        <v/>
      </c>
    </row>
    <row r="15">
      <c r="A15" s="14" t="n"/>
      <c r="B15" s="15" t="n"/>
      <c r="C15" s="15" t="n"/>
      <c r="D15" s="15" t="n"/>
      <c r="E15" s="16" t="n"/>
      <c r="F15" s="17" t="n"/>
      <c r="G15" s="18">
        <f>IF(F15="","",$B$4+SUM($F$9:F15))</f>
        <v/>
      </c>
      <c r="H15" s="19">
        <f>IF(F15="","",F15/(G15-F15))</f>
        <v/>
      </c>
      <c r="I15" s="20">
        <f>IF(C15="","",IFERROR(VLOOKUP(C15,'Plan objetivo 10%'!$A:$C,3,FALSE),""))</f>
        <v/>
      </c>
      <c r="J15" s="20">
        <f>IF(OR(G15="",I15=""),"",G15-I15)</f>
        <v/>
      </c>
    </row>
    <row r="16">
      <c r="A16" s="21" t="n"/>
      <c r="B16" s="22" t="n"/>
      <c r="C16" s="22" t="n"/>
      <c r="D16" s="22" t="n"/>
      <c r="E16" s="23" t="n"/>
      <c r="F16" s="24" t="n"/>
      <c r="G16" s="25">
        <f>IF(F16="","",$B$4+SUM($F$9:F16))</f>
        <v/>
      </c>
      <c r="H16" s="26">
        <f>IF(F16="","",F16/(G16-F16))</f>
        <v/>
      </c>
      <c r="I16" s="27">
        <f>IF(C16="","",IFERROR(VLOOKUP(C16,'Plan objetivo 10%'!$A:$C,3,FALSE),""))</f>
        <v/>
      </c>
      <c r="J16" s="27">
        <f>IF(OR(G16="",I16=""),"",G16-I16)</f>
        <v/>
      </c>
    </row>
    <row r="17">
      <c r="A17" s="14" t="n"/>
      <c r="B17" s="15" t="n"/>
      <c r="C17" s="15" t="n"/>
      <c r="D17" s="15" t="n"/>
      <c r="E17" s="16" t="n"/>
      <c r="F17" s="17" t="n"/>
      <c r="G17" s="18">
        <f>IF(F17="","",$B$4+SUM($F$9:F17))</f>
        <v/>
      </c>
      <c r="H17" s="19">
        <f>IF(F17="","",F17/(G17-F17))</f>
        <v/>
      </c>
      <c r="I17" s="20">
        <f>IF(C17="","",IFERROR(VLOOKUP(C17,'Plan objetivo 10%'!$A:$C,3,FALSE),""))</f>
        <v/>
      </c>
      <c r="J17" s="20">
        <f>IF(OR(G17="",I17=""),"",G17-I17)</f>
        <v/>
      </c>
    </row>
    <row r="18">
      <c r="A18" s="21" t="n"/>
      <c r="B18" s="22" t="n"/>
      <c r="C18" s="22" t="n"/>
      <c r="D18" s="22" t="n"/>
      <c r="E18" s="23" t="n"/>
      <c r="F18" s="24" t="n"/>
      <c r="G18" s="25">
        <f>IF(F18="","",$B$4+SUM($F$9:F18))</f>
        <v/>
      </c>
      <c r="H18" s="26">
        <f>IF(F18="","",F18/(G18-F18))</f>
        <v/>
      </c>
      <c r="I18" s="27">
        <f>IF(C18="","",IFERROR(VLOOKUP(C18,'Plan objetivo 10%'!$A:$C,3,FALSE),""))</f>
        <v/>
      </c>
      <c r="J18" s="27">
        <f>IF(OR(G18="",I18=""),"",G18-I18)</f>
        <v/>
      </c>
    </row>
    <row r="19">
      <c r="A19" s="14" t="n"/>
      <c r="B19" s="15" t="n"/>
      <c r="C19" s="15" t="n"/>
      <c r="D19" s="15" t="n"/>
      <c r="E19" s="16" t="n"/>
      <c r="F19" s="17" t="n"/>
      <c r="G19" s="18">
        <f>IF(F19="","",$B$4+SUM($F$9:F19))</f>
        <v/>
      </c>
      <c r="H19" s="19">
        <f>IF(F19="","",F19/(G19-F19))</f>
        <v/>
      </c>
      <c r="I19" s="20">
        <f>IF(C19="","",IFERROR(VLOOKUP(C19,'Plan objetivo 10%'!$A:$C,3,FALSE),""))</f>
        <v/>
      </c>
      <c r="J19" s="20">
        <f>IF(OR(G19="",I19=""),"",G19-I19)</f>
        <v/>
      </c>
    </row>
    <row r="20">
      <c r="A20" s="21" t="n"/>
      <c r="B20" s="22" t="n"/>
      <c r="C20" s="22" t="n"/>
      <c r="D20" s="22" t="n"/>
      <c r="E20" s="23" t="n"/>
      <c r="F20" s="24" t="n"/>
      <c r="G20" s="25">
        <f>IF(F20="","",$B$4+SUM($F$9:F20))</f>
        <v/>
      </c>
      <c r="H20" s="26">
        <f>IF(F20="","",F20/(G20-F20))</f>
        <v/>
      </c>
      <c r="I20" s="27">
        <f>IF(C20="","",IFERROR(VLOOKUP(C20,'Plan objetivo 10%'!$A:$C,3,FALSE),""))</f>
        <v/>
      </c>
      <c r="J20" s="27">
        <f>IF(OR(G20="",I20=""),"",G20-I20)</f>
        <v/>
      </c>
    </row>
    <row r="21">
      <c r="A21" s="14" t="n"/>
      <c r="B21" s="15" t="n"/>
      <c r="C21" s="15" t="n"/>
      <c r="D21" s="15" t="n"/>
      <c r="E21" s="16" t="n"/>
      <c r="F21" s="17" t="n"/>
      <c r="G21" s="18">
        <f>IF(F21="","",$B$4+SUM($F$9:F21))</f>
        <v/>
      </c>
      <c r="H21" s="19">
        <f>IF(F21="","",F21/(G21-F21))</f>
        <v/>
      </c>
      <c r="I21" s="20">
        <f>IF(C21="","",IFERROR(VLOOKUP(C21,'Plan objetivo 10%'!$A:$C,3,FALSE),""))</f>
        <v/>
      </c>
      <c r="J21" s="20">
        <f>IF(OR(G21="",I21=""),"",G21-I21)</f>
        <v/>
      </c>
    </row>
    <row r="22">
      <c r="A22" s="21" t="n"/>
      <c r="B22" s="22" t="n"/>
      <c r="C22" s="22" t="n"/>
      <c r="D22" s="22" t="n"/>
      <c r="E22" s="23" t="n"/>
      <c r="F22" s="24" t="n"/>
      <c r="G22" s="25">
        <f>IF(F22="","",$B$4+SUM($F$9:F22))</f>
        <v/>
      </c>
      <c r="H22" s="26">
        <f>IF(F22="","",F22/(G22-F22))</f>
        <v/>
      </c>
      <c r="I22" s="27">
        <f>IF(C22="","",IFERROR(VLOOKUP(C22,'Plan objetivo 10%'!$A:$C,3,FALSE),""))</f>
        <v/>
      </c>
      <c r="J22" s="27">
        <f>IF(OR(G22="",I22=""),"",G22-I22)</f>
        <v/>
      </c>
    </row>
    <row r="23">
      <c r="A23" s="14" t="n"/>
      <c r="B23" s="15" t="n"/>
      <c r="C23" s="15" t="n"/>
      <c r="D23" s="15" t="n"/>
      <c r="E23" s="16" t="n"/>
      <c r="F23" s="17" t="n"/>
      <c r="G23" s="18">
        <f>IF(F23="","",$B$4+SUM($F$9:F23))</f>
        <v/>
      </c>
      <c r="H23" s="19">
        <f>IF(F23="","",F23/(G23-F23))</f>
        <v/>
      </c>
      <c r="I23" s="20">
        <f>IF(C23="","",IFERROR(VLOOKUP(C23,'Plan objetivo 10%'!$A:$C,3,FALSE),""))</f>
        <v/>
      </c>
      <c r="J23" s="20">
        <f>IF(OR(G23="",I23=""),"",G23-I23)</f>
        <v/>
      </c>
    </row>
    <row r="24">
      <c r="A24" s="21" t="n"/>
      <c r="B24" s="22" t="n"/>
      <c r="C24" s="22" t="n"/>
      <c r="D24" s="22" t="n"/>
      <c r="E24" s="23" t="n"/>
      <c r="F24" s="24" t="n"/>
      <c r="G24" s="25">
        <f>IF(F24="","",$B$4+SUM($F$9:F24))</f>
        <v/>
      </c>
      <c r="H24" s="26">
        <f>IF(F24="","",F24/(G24-F24))</f>
        <v/>
      </c>
      <c r="I24" s="27">
        <f>IF(C24="","",IFERROR(VLOOKUP(C24,'Plan objetivo 10%'!$A:$C,3,FALSE),""))</f>
        <v/>
      </c>
      <c r="J24" s="27">
        <f>IF(OR(G24="",I24=""),"",G24-I24)</f>
        <v/>
      </c>
    </row>
    <row r="25">
      <c r="A25" s="14" t="n"/>
      <c r="B25" s="15" t="n"/>
      <c r="C25" s="15" t="n"/>
      <c r="D25" s="15" t="n"/>
      <c r="E25" s="16" t="n"/>
      <c r="F25" s="17" t="n"/>
      <c r="G25" s="18">
        <f>IF(F25="","",$B$4+SUM($F$9:F25))</f>
        <v/>
      </c>
      <c r="H25" s="19">
        <f>IF(F25="","",F25/(G25-F25))</f>
        <v/>
      </c>
      <c r="I25" s="20">
        <f>IF(C25="","",IFERROR(VLOOKUP(C25,'Plan objetivo 10%'!$A:$C,3,FALSE),""))</f>
        <v/>
      </c>
      <c r="J25" s="20">
        <f>IF(OR(G25="",I25=""),"",G25-I25)</f>
        <v/>
      </c>
    </row>
    <row r="26">
      <c r="A26" s="21" t="n"/>
      <c r="B26" s="22" t="n"/>
      <c r="C26" s="22" t="n"/>
      <c r="D26" s="22" t="n"/>
      <c r="E26" s="23" t="n"/>
      <c r="F26" s="24" t="n"/>
      <c r="G26" s="25">
        <f>IF(F26="","",$B$4+SUM($F$9:F26))</f>
        <v/>
      </c>
      <c r="H26" s="26">
        <f>IF(F26="","",F26/(G26-F26))</f>
        <v/>
      </c>
      <c r="I26" s="27">
        <f>IF(C26="","",IFERROR(VLOOKUP(C26,'Plan objetivo 10%'!$A:$C,3,FALSE),""))</f>
        <v/>
      </c>
      <c r="J26" s="27">
        <f>IF(OR(G26="",I26=""),"",G26-I26)</f>
        <v/>
      </c>
    </row>
    <row r="27">
      <c r="A27" s="14" t="n"/>
      <c r="B27" s="15" t="n"/>
      <c r="C27" s="15" t="n"/>
      <c r="D27" s="15" t="n"/>
      <c r="E27" s="16" t="n"/>
      <c r="F27" s="17" t="n"/>
      <c r="G27" s="18">
        <f>IF(F27="","",$B$4+SUM($F$9:F27))</f>
        <v/>
      </c>
      <c r="H27" s="19">
        <f>IF(F27="","",F27/(G27-F27))</f>
        <v/>
      </c>
      <c r="I27" s="20">
        <f>IF(C27="","",IFERROR(VLOOKUP(C27,'Plan objetivo 10%'!$A:$C,3,FALSE),""))</f>
        <v/>
      </c>
      <c r="J27" s="20">
        <f>IF(OR(G27="",I27=""),"",G27-I27)</f>
        <v/>
      </c>
    </row>
    <row r="28">
      <c r="A28" s="21" t="n"/>
      <c r="B28" s="22" t="n"/>
      <c r="C28" s="22" t="n"/>
      <c r="D28" s="22" t="n"/>
      <c r="E28" s="23" t="n"/>
      <c r="F28" s="24" t="n"/>
      <c r="G28" s="25">
        <f>IF(F28="","",$B$4+SUM($F$9:F28))</f>
        <v/>
      </c>
      <c r="H28" s="26">
        <f>IF(F28="","",F28/(G28-F28))</f>
        <v/>
      </c>
      <c r="I28" s="27">
        <f>IF(C28="","",IFERROR(VLOOKUP(C28,'Plan objetivo 10%'!$A:$C,3,FALSE),""))</f>
        <v/>
      </c>
      <c r="J28" s="27">
        <f>IF(OR(G28="",I28=""),"",G28-I28)</f>
        <v/>
      </c>
    </row>
    <row r="29">
      <c r="A29" s="14" t="n"/>
      <c r="B29" s="15" t="n"/>
      <c r="C29" s="15" t="n"/>
      <c r="D29" s="15" t="n"/>
      <c r="E29" s="16" t="n"/>
      <c r="F29" s="17" t="n"/>
      <c r="G29" s="18">
        <f>IF(F29="","",$B$4+SUM($F$9:F29))</f>
        <v/>
      </c>
      <c r="H29" s="19">
        <f>IF(F29="","",F29/(G29-F29))</f>
        <v/>
      </c>
      <c r="I29" s="20">
        <f>IF(C29="","",IFERROR(VLOOKUP(C29,'Plan objetivo 10%'!$A:$C,3,FALSE),""))</f>
        <v/>
      </c>
      <c r="J29" s="20">
        <f>IF(OR(G29="",I29=""),"",G29-I29)</f>
        <v/>
      </c>
    </row>
    <row r="30">
      <c r="A30" s="21" t="n"/>
      <c r="B30" s="22" t="n"/>
      <c r="C30" s="22" t="n"/>
      <c r="D30" s="22" t="n"/>
      <c r="E30" s="23" t="n"/>
      <c r="F30" s="24" t="n"/>
      <c r="G30" s="25">
        <f>IF(F30="","",$B$4+SUM($F$9:F30))</f>
        <v/>
      </c>
      <c r="H30" s="26">
        <f>IF(F30="","",F30/(G30-F30))</f>
        <v/>
      </c>
      <c r="I30" s="27">
        <f>IF(C30="","",IFERROR(VLOOKUP(C30,'Plan objetivo 10%'!$A:$C,3,FALSE),""))</f>
        <v/>
      </c>
      <c r="J30" s="27">
        <f>IF(OR(G30="",I30=""),"",G30-I30)</f>
        <v/>
      </c>
    </row>
    <row r="31">
      <c r="A31" s="14" t="n"/>
      <c r="B31" s="15" t="n"/>
      <c r="C31" s="15" t="n"/>
      <c r="D31" s="15" t="n"/>
      <c r="E31" s="16" t="n"/>
      <c r="F31" s="17" t="n"/>
      <c r="G31" s="18">
        <f>IF(F31="","",$B$4+SUM($F$9:F31))</f>
        <v/>
      </c>
      <c r="H31" s="19">
        <f>IF(F31="","",F31/(G31-F31))</f>
        <v/>
      </c>
      <c r="I31" s="20">
        <f>IF(C31="","",IFERROR(VLOOKUP(C31,'Plan objetivo 10%'!$A:$C,3,FALSE),""))</f>
        <v/>
      </c>
      <c r="J31" s="20">
        <f>IF(OR(G31="",I31=""),"",G31-I31)</f>
        <v/>
      </c>
    </row>
    <row r="32">
      <c r="A32" s="21" t="n"/>
      <c r="B32" s="22" t="n"/>
      <c r="C32" s="22" t="n"/>
      <c r="D32" s="22" t="n"/>
      <c r="E32" s="23" t="n"/>
      <c r="F32" s="24" t="n"/>
      <c r="G32" s="25">
        <f>IF(F32="","",$B$4+SUM($F$9:F32))</f>
        <v/>
      </c>
      <c r="H32" s="26">
        <f>IF(F32="","",F32/(G32-F32))</f>
        <v/>
      </c>
      <c r="I32" s="27">
        <f>IF(C32="","",IFERROR(VLOOKUP(C32,'Plan objetivo 10%'!$A:$C,3,FALSE),""))</f>
        <v/>
      </c>
      <c r="J32" s="27">
        <f>IF(OR(G32="",I32=""),"",G32-I32)</f>
        <v/>
      </c>
    </row>
    <row r="33">
      <c r="A33" s="14" t="n"/>
      <c r="B33" s="15" t="n"/>
      <c r="C33" s="15" t="n"/>
      <c r="D33" s="15" t="n"/>
      <c r="E33" s="16" t="n"/>
      <c r="F33" s="17" t="n"/>
      <c r="G33" s="18">
        <f>IF(F33="","",$B$4+SUM($F$9:F33))</f>
        <v/>
      </c>
      <c r="H33" s="19">
        <f>IF(F33="","",F33/(G33-F33))</f>
        <v/>
      </c>
      <c r="I33" s="20">
        <f>IF(C33="","",IFERROR(VLOOKUP(C33,'Plan objetivo 10%'!$A:$C,3,FALSE),""))</f>
        <v/>
      </c>
      <c r="J33" s="20">
        <f>IF(OR(G33="",I33=""),"",G33-I33)</f>
        <v/>
      </c>
    </row>
    <row r="34">
      <c r="A34" s="21" t="n"/>
      <c r="B34" s="22" t="n"/>
      <c r="C34" s="22" t="n"/>
      <c r="D34" s="22" t="n"/>
      <c r="E34" s="23" t="n"/>
      <c r="F34" s="24" t="n"/>
      <c r="G34" s="25">
        <f>IF(F34="","",$B$4+SUM($F$9:F34))</f>
        <v/>
      </c>
      <c r="H34" s="26">
        <f>IF(F34="","",F34/(G34-F34))</f>
        <v/>
      </c>
      <c r="I34" s="27">
        <f>IF(C34="","",IFERROR(VLOOKUP(C34,'Plan objetivo 10%'!$A:$C,3,FALSE),""))</f>
        <v/>
      </c>
      <c r="J34" s="27">
        <f>IF(OR(G34="",I34=""),"",G34-I34)</f>
        <v/>
      </c>
    </row>
    <row r="35">
      <c r="A35" s="14" t="n"/>
      <c r="B35" s="15" t="n"/>
      <c r="C35" s="15" t="n"/>
      <c r="D35" s="15" t="n"/>
      <c r="E35" s="16" t="n"/>
      <c r="F35" s="17" t="n"/>
      <c r="G35" s="18">
        <f>IF(F35="","",$B$4+SUM($F$9:F35))</f>
        <v/>
      </c>
      <c r="H35" s="19">
        <f>IF(F35="","",F35/(G35-F35))</f>
        <v/>
      </c>
      <c r="I35" s="20">
        <f>IF(C35="","",IFERROR(VLOOKUP(C35,'Plan objetivo 10%'!$A:$C,3,FALSE),""))</f>
        <v/>
      </c>
      <c r="J35" s="20">
        <f>IF(OR(G35="",I35=""),"",G35-I35)</f>
        <v/>
      </c>
    </row>
    <row r="36">
      <c r="A36" s="21" t="n"/>
      <c r="B36" s="22" t="n"/>
      <c r="C36" s="22" t="n"/>
      <c r="D36" s="22" t="n"/>
      <c r="E36" s="23" t="n"/>
      <c r="F36" s="24" t="n"/>
      <c r="G36" s="25">
        <f>IF(F36="","",$B$4+SUM($F$9:F36))</f>
        <v/>
      </c>
      <c r="H36" s="26">
        <f>IF(F36="","",F36/(G36-F36))</f>
        <v/>
      </c>
      <c r="I36" s="27">
        <f>IF(C36="","",IFERROR(VLOOKUP(C36,'Plan objetivo 10%'!$A:$C,3,FALSE),""))</f>
        <v/>
      </c>
      <c r="J36" s="27">
        <f>IF(OR(G36="",I36=""),"",G36-I36)</f>
        <v/>
      </c>
    </row>
    <row r="37">
      <c r="A37" s="14" t="n"/>
      <c r="B37" s="15" t="n"/>
      <c r="C37" s="15" t="n"/>
      <c r="D37" s="15" t="n"/>
      <c r="E37" s="16" t="n"/>
      <c r="F37" s="17" t="n"/>
      <c r="G37" s="18">
        <f>IF(F37="","",$B$4+SUM($F$9:F37))</f>
        <v/>
      </c>
      <c r="H37" s="19">
        <f>IF(F37="","",F37/(G37-F37))</f>
        <v/>
      </c>
      <c r="I37" s="20">
        <f>IF(C37="","",IFERROR(VLOOKUP(C37,'Plan objetivo 10%'!$A:$C,3,FALSE),""))</f>
        <v/>
      </c>
      <c r="J37" s="20">
        <f>IF(OR(G37="",I37=""),"",G37-I37)</f>
        <v/>
      </c>
    </row>
    <row r="38">
      <c r="A38" s="21" t="n"/>
      <c r="B38" s="22" t="n"/>
      <c r="C38" s="22" t="n"/>
      <c r="D38" s="22" t="n"/>
      <c r="E38" s="23" t="n"/>
      <c r="F38" s="24" t="n"/>
      <c r="G38" s="25">
        <f>IF(F38="","",$B$4+SUM($F$9:F38))</f>
        <v/>
      </c>
      <c r="H38" s="26">
        <f>IF(F38="","",F38/(G38-F38))</f>
        <v/>
      </c>
      <c r="I38" s="27">
        <f>IF(C38="","",IFERROR(VLOOKUP(C38,'Plan objetivo 10%'!$A:$C,3,FALSE),""))</f>
        <v/>
      </c>
      <c r="J38" s="27">
        <f>IF(OR(G38="",I38=""),"",G38-I38)</f>
        <v/>
      </c>
    </row>
    <row r="39">
      <c r="A39" s="14" t="n"/>
      <c r="B39" s="15" t="n"/>
      <c r="C39" s="15" t="n"/>
      <c r="D39" s="15" t="n"/>
      <c r="E39" s="16" t="n"/>
      <c r="F39" s="17" t="n"/>
      <c r="G39" s="18">
        <f>IF(F39="","",$B$4+SUM($F$9:F39))</f>
        <v/>
      </c>
      <c r="H39" s="19">
        <f>IF(F39="","",F39/(G39-F39))</f>
        <v/>
      </c>
      <c r="I39" s="20">
        <f>IF(C39="","",IFERROR(VLOOKUP(C39,'Plan objetivo 10%'!$A:$C,3,FALSE),""))</f>
        <v/>
      </c>
      <c r="J39" s="20">
        <f>IF(OR(G39="",I39=""),"",G39-I39)</f>
        <v/>
      </c>
    </row>
    <row r="40">
      <c r="A40" s="21" t="n"/>
      <c r="B40" s="22" t="n"/>
      <c r="C40" s="22" t="n"/>
      <c r="D40" s="22" t="n"/>
      <c r="E40" s="23" t="n"/>
      <c r="F40" s="24" t="n"/>
      <c r="G40" s="25">
        <f>IF(F40="","",$B$4+SUM($F$9:F40))</f>
        <v/>
      </c>
      <c r="H40" s="26">
        <f>IF(F40="","",F40/(G40-F40))</f>
        <v/>
      </c>
      <c r="I40" s="27">
        <f>IF(C40="","",IFERROR(VLOOKUP(C40,'Plan objetivo 10%'!$A:$C,3,FALSE),""))</f>
        <v/>
      </c>
      <c r="J40" s="27">
        <f>IF(OR(G40="",I40=""),"",G40-I40)</f>
        <v/>
      </c>
    </row>
    <row r="41">
      <c r="A41" s="14" t="n"/>
      <c r="B41" s="15" t="n"/>
      <c r="C41" s="15" t="n"/>
      <c r="D41" s="15" t="n"/>
      <c r="E41" s="16" t="n"/>
      <c r="F41" s="17" t="n"/>
      <c r="G41" s="18">
        <f>IF(F41="","",$B$4+SUM($F$9:F41))</f>
        <v/>
      </c>
      <c r="H41" s="19">
        <f>IF(F41="","",F41/(G41-F41))</f>
        <v/>
      </c>
      <c r="I41" s="20">
        <f>IF(C41="","",IFERROR(VLOOKUP(C41,'Plan objetivo 10%'!$A:$C,3,FALSE),""))</f>
        <v/>
      </c>
      <c r="J41" s="20">
        <f>IF(OR(G41="",I41=""),"",G41-I41)</f>
        <v/>
      </c>
    </row>
    <row r="42">
      <c r="A42" s="21" t="n"/>
      <c r="B42" s="22" t="n"/>
      <c r="C42" s="22" t="n"/>
      <c r="D42" s="22" t="n"/>
      <c r="E42" s="23" t="n"/>
      <c r="F42" s="24" t="n"/>
      <c r="G42" s="25">
        <f>IF(F42="","",$B$4+SUM($F$9:F42))</f>
        <v/>
      </c>
      <c r="H42" s="26">
        <f>IF(F42="","",F42/(G42-F42))</f>
        <v/>
      </c>
      <c r="I42" s="27">
        <f>IF(C42="","",IFERROR(VLOOKUP(C42,'Plan objetivo 10%'!$A:$C,3,FALSE),""))</f>
        <v/>
      </c>
      <c r="J42" s="27">
        <f>IF(OR(G42="",I42=""),"",G42-I42)</f>
        <v/>
      </c>
    </row>
    <row r="43">
      <c r="A43" s="14" t="n"/>
      <c r="B43" s="15" t="n"/>
      <c r="C43" s="15" t="n"/>
      <c r="D43" s="15" t="n"/>
      <c r="E43" s="16" t="n"/>
      <c r="F43" s="17" t="n"/>
      <c r="G43" s="18">
        <f>IF(F43="","",$B$4+SUM($F$9:F43))</f>
        <v/>
      </c>
      <c r="H43" s="19">
        <f>IF(F43="","",F43/(G43-F43))</f>
        <v/>
      </c>
      <c r="I43" s="20">
        <f>IF(C43="","",IFERROR(VLOOKUP(C43,'Plan objetivo 10%'!$A:$C,3,FALSE),""))</f>
        <v/>
      </c>
      <c r="J43" s="20">
        <f>IF(OR(G43="",I43=""),"",G43-I43)</f>
        <v/>
      </c>
    </row>
    <row r="44">
      <c r="A44" s="21" t="n"/>
      <c r="B44" s="22" t="n"/>
      <c r="C44" s="22" t="n"/>
      <c r="D44" s="22" t="n"/>
      <c r="E44" s="23" t="n"/>
      <c r="F44" s="24" t="n"/>
      <c r="G44" s="25">
        <f>IF(F44="","",$B$4+SUM($F$9:F44))</f>
        <v/>
      </c>
      <c r="H44" s="26">
        <f>IF(F44="","",F44/(G44-F44))</f>
        <v/>
      </c>
      <c r="I44" s="27">
        <f>IF(C44="","",IFERROR(VLOOKUP(C44,'Plan objetivo 10%'!$A:$C,3,FALSE),""))</f>
        <v/>
      </c>
      <c r="J44" s="27">
        <f>IF(OR(G44="",I44=""),"",G44-I44)</f>
        <v/>
      </c>
    </row>
    <row r="45">
      <c r="A45" s="14" t="n"/>
      <c r="B45" s="15" t="n"/>
      <c r="C45" s="15" t="n"/>
      <c r="D45" s="15" t="n"/>
      <c r="E45" s="16" t="n"/>
      <c r="F45" s="17" t="n"/>
      <c r="G45" s="18">
        <f>IF(F45="","",$B$4+SUM($F$9:F45))</f>
        <v/>
      </c>
      <c r="H45" s="19">
        <f>IF(F45="","",F45/(G45-F45))</f>
        <v/>
      </c>
      <c r="I45" s="20">
        <f>IF(C45="","",IFERROR(VLOOKUP(C45,'Plan objetivo 10%'!$A:$C,3,FALSE),""))</f>
        <v/>
      </c>
      <c r="J45" s="20">
        <f>IF(OR(G45="",I45=""),"",G45-I45)</f>
        <v/>
      </c>
    </row>
    <row r="46">
      <c r="A46" s="21" t="n"/>
      <c r="B46" s="22" t="n"/>
      <c r="C46" s="22" t="n"/>
      <c r="D46" s="22" t="n"/>
      <c r="E46" s="23" t="n"/>
      <c r="F46" s="24" t="n"/>
      <c r="G46" s="25">
        <f>IF(F46="","",$B$4+SUM($F$9:F46))</f>
        <v/>
      </c>
      <c r="H46" s="26">
        <f>IF(F46="","",F46/(G46-F46))</f>
        <v/>
      </c>
      <c r="I46" s="27">
        <f>IF(C46="","",IFERROR(VLOOKUP(C46,'Plan objetivo 10%'!$A:$C,3,FALSE),""))</f>
        <v/>
      </c>
      <c r="J46" s="27">
        <f>IF(OR(G46="",I46=""),"",G46-I46)</f>
        <v/>
      </c>
    </row>
    <row r="47">
      <c r="A47" s="14" t="n"/>
      <c r="B47" s="15" t="n"/>
      <c r="C47" s="15" t="n"/>
      <c r="D47" s="15" t="n"/>
      <c r="E47" s="16" t="n"/>
      <c r="F47" s="17" t="n"/>
      <c r="G47" s="18">
        <f>IF(F47="","",$B$4+SUM($F$9:F47))</f>
        <v/>
      </c>
      <c r="H47" s="19">
        <f>IF(F47="","",F47/(G47-F47))</f>
        <v/>
      </c>
      <c r="I47" s="20">
        <f>IF(C47="","",IFERROR(VLOOKUP(C47,'Plan objetivo 10%'!$A:$C,3,FALSE),""))</f>
        <v/>
      </c>
      <c r="J47" s="20">
        <f>IF(OR(G47="",I47=""),"",G47-I47)</f>
        <v/>
      </c>
    </row>
    <row r="48">
      <c r="A48" s="21" t="n"/>
      <c r="B48" s="22" t="n"/>
      <c r="C48" s="22" t="n"/>
      <c r="D48" s="22" t="n"/>
      <c r="E48" s="23" t="n"/>
      <c r="F48" s="24" t="n"/>
      <c r="G48" s="25">
        <f>IF(F48="","",$B$4+SUM($F$9:F48))</f>
        <v/>
      </c>
      <c r="H48" s="26">
        <f>IF(F48="","",F48/(G48-F48))</f>
        <v/>
      </c>
      <c r="I48" s="27">
        <f>IF(C48="","",IFERROR(VLOOKUP(C48,'Plan objetivo 10%'!$A:$C,3,FALSE),""))</f>
        <v/>
      </c>
      <c r="J48" s="27">
        <f>IF(OR(G48="",I48=""),"",G48-I48)</f>
        <v/>
      </c>
    </row>
    <row r="49">
      <c r="A49" s="14" t="n"/>
      <c r="B49" s="15" t="n"/>
      <c r="C49" s="15" t="n"/>
      <c r="D49" s="15" t="n"/>
      <c r="E49" s="16" t="n"/>
      <c r="F49" s="17" t="n"/>
      <c r="G49" s="18">
        <f>IF(F49="","",$B$4+SUM($F$9:F49))</f>
        <v/>
      </c>
      <c r="H49" s="19">
        <f>IF(F49="","",F49/(G49-F49))</f>
        <v/>
      </c>
      <c r="I49" s="20">
        <f>IF(C49="","",IFERROR(VLOOKUP(C49,'Plan objetivo 10%'!$A:$C,3,FALSE),""))</f>
        <v/>
      </c>
      <c r="J49" s="20">
        <f>IF(OR(G49="",I49=""),"",G49-I49)</f>
        <v/>
      </c>
    </row>
    <row r="50">
      <c r="A50" s="21" t="n"/>
      <c r="B50" s="22" t="n"/>
      <c r="C50" s="22" t="n"/>
      <c r="D50" s="22" t="n"/>
      <c r="E50" s="23" t="n"/>
      <c r="F50" s="24" t="n"/>
      <c r="G50" s="25">
        <f>IF(F50="","",$B$4+SUM($F$9:F50))</f>
        <v/>
      </c>
      <c r="H50" s="26">
        <f>IF(F50="","",F50/(G50-F50))</f>
        <v/>
      </c>
      <c r="I50" s="27">
        <f>IF(C50="","",IFERROR(VLOOKUP(C50,'Plan objetivo 10%'!$A:$C,3,FALSE),""))</f>
        <v/>
      </c>
      <c r="J50" s="27">
        <f>IF(OR(G50="",I50=""),"",G50-I50)</f>
        <v/>
      </c>
    </row>
    <row r="51">
      <c r="A51" s="14" t="n"/>
      <c r="B51" s="15" t="n"/>
      <c r="C51" s="15" t="n"/>
      <c r="D51" s="15" t="n"/>
      <c r="E51" s="16" t="n"/>
      <c r="F51" s="17" t="n"/>
      <c r="G51" s="18">
        <f>IF(F51="","",$B$4+SUM($F$9:F51))</f>
        <v/>
      </c>
      <c r="H51" s="19">
        <f>IF(F51="","",F51/(G51-F51))</f>
        <v/>
      </c>
      <c r="I51" s="20">
        <f>IF(C51="","",IFERROR(VLOOKUP(C51,'Plan objetivo 10%'!$A:$C,3,FALSE),""))</f>
        <v/>
      </c>
      <c r="J51" s="20">
        <f>IF(OR(G51="",I51=""),"",G51-I51)</f>
        <v/>
      </c>
    </row>
    <row r="52">
      <c r="A52" s="21" t="n"/>
      <c r="B52" s="22" t="n"/>
      <c r="C52" s="22" t="n"/>
      <c r="D52" s="22" t="n"/>
      <c r="E52" s="23" t="n"/>
      <c r="F52" s="24" t="n"/>
      <c r="G52" s="25">
        <f>IF(F52="","",$B$4+SUM($F$9:F52))</f>
        <v/>
      </c>
      <c r="H52" s="26">
        <f>IF(F52="","",F52/(G52-F52))</f>
        <v/>
      </c>
      <c r="I52" s="27">
        <f>IF(C52="","",IFERROR(VLOOKUP(C52,'Plan objetivo 10%'!$A:$C,3,FALSE),""))</f>
        <v/>
      </c>
      <c r="J52" s="27">
        <f>IF(OR(G52="",I52=""),"",G52-I52)</f>
        <v/>
      </c>
    </row>
    <row r="53">
      <c r="A53" s="14" t="n"/>
      <c r="B53" s="15" t="n"/>
      <c r="C53" s="15" t="n"/>
      <c r="D53" s="15" t="n"/>
      <c r="E53" s="16" t="n"/>
      <c r="F53" s="17" t="n"/>
      <c r="G53" s="18">
        <f>IF(F53="","",$B$4+SUM($F$9:F53))</f>
        <v/>
      </c>
      <c r="H53" s="19">
        <f>IF(F53="","",F53/(G53-F53))</f>
        <v/>
      </c>
      <c r="I53" s="20">
        <f>IF(C53="","",IFERROR(VLOOKUP(C53,'Plan objetivo 10%'!$A:$C,3,FALSE),""))</f>
        <v/>
      </c>
      <c r="J53" s="20">
        <f>IF(OR(G53="",I53=""),"",G53-I53)</f>
        <v/>
      </c>
    </row>
    <row r="54">
      <c r="A54" s="21" t="n"/>
      <c r="B54" s="22" t="n"/>
      <c r="C54" s="22" t="n"/>
      <c r="D54" s="22" t="n"/>
      <c r="E54" s="23" t="n"/>
      <c r="F54" s="24" t="n"/>
      <c r="G54" s="25">
        <f>IF(F54="","",$B$4+SUM($F$9:F54))</f>
        <v/>
      </c>
      <c r="H54" s="26">
        <f>IF(F54="","",F54/(G54-F54))</f>
        <v/>
      </c>
      <c r="I54" s="27">
        <f>IF(C54="","",IFERROR(VLOOKUP(C54,'Plan objetivo 10%'!$A:$C,3,FALSE),""))</f>
        <v/>
      </c>
      <c r="J54" s="27">
        <f>IF(OR(G54="",I54=""),"",G54-I54)</f>
        <v/>
      </c>
    </row>
    <row r="55">
      <c r="A55" s="14" t="n"/>
      <c r="B55" s="15" t="n"/>
      <c r="C55" s="15" t="n"/>
      <c r="D55" s="15" t="n"/>
      <c r="E55" s="16" t="n"/>
      <c r="F55" s="17" t="n"/>
      <c r="G55" s="18">
        <f>IF(F55="","",$B$4+SUM($F$9:F55))</f>
        <v/>
      </c>
      <c r="H55" s="19">
        <f>IF(F55="","",F55/(G55-F55))</f>
        <v/>
      </c>
      <c r="I55" s="20">
        <f>IF(C55="","",IFERROR(VLOOKUP(C55,'Plan objetivo 10%'!$A:$C,3,FALSE),""))</f>
        <v/>
      </c>
      <c r="J55" s="20">
        <f>IF(OR(G55="",I55=""),"",G55-I55)</f>
        <v/>
      </c>
    </row>
    <row r="56">
      <c r="A56" s="21" t="n"/>
      <c r="B56" s="22" t="n"/>
      <c r="C56" s="22" t="n"/>
      <c r="D56" s="22" t="n"/>
      <c r="E56" s="23" t="n"/>
      <c r="F56" s="24" t="n"/>
      <c r="G56" s="25">
        <f>IF(F56="","",$B$4+SUM($F$9:F56))</f>
        <v/>
      </c>
      <c r="H56" s="26">
        <f>IF(F56="","",F56/(G56-F56))</f>
        <v/>
      </c>
      <c r="I56" s="27">
        <f>IF(C56="","",IFERROR(VLOOKUP(C56,'Plan objetivo 10%'!$A:$C,3,FALSE),""))</f>
        <v/>
      </c>
      <c r="J56" s="27">
        <f>IF(OR(G56="",I56=""),"",G56-I56)</f>
        <v/>
      </c>
    </row>
    <row r="57">
      <c r="A57" s="14" t="n"/>
      <c r="B57" s="15" t="n"/>
      <c r="C57" s="15" t="n"/>
      <c r="D57" s="15" t="n"/>
      <c r="E57" s="16" t="n"/>
      <c r="F57" s="17" t="n"/>
      <c r="G57" s="18">
        <f>IF(F57="","",$B$4+SUM($F$9:F57))</f>
        <v/>
      </c>
      <c r="H57" s="19">
        <f>IF(F57="","",F57/(G57-F57))</f>
        <v/>
      </c>
      <c r="I57" s="20">
        <f>IF(C57="","",IFERROR(VLOOKUP(C57,'Plan objetivo 10%'!$A:$C,3,FALSE),""))</f>
        <v/>
      </c>
      <c r="J57" s="20">
        <f>IF(OR(G57="",I57=""),"",G57-I57)</f>
        <v/>
      </c>
    </row>
    <row r="58">
      <c r="A58" s="21" t="n"/>
      <c r="B58" s="22" t="n"/>
      <c r="C58" s="22" t="n"/>
      <c r="D58" s="22" t="n"/>
      <c r="E58" s="23" t="n"/>
      <c r="F58" s="24" t="n"/>
      <c r="G58" s="25">
        <f>IF(F58="","",$B$4+SUM($F$9:F58))</f>
        <v/>
      </c>
      <c r="H58" s="26">
        <f>IF(F58="","",F58/(G58-F58))</f>
        <v/>
      </c>
      <c r="I58" s="27">
        <f>IF(C58="","",IFERROR(VLOOKUP(C58,'Plan objetivo 10%'!$A:$C,3,FALSE),""))</f>
        <v/>
      </c>
      <c r="J58" s="27">
        <f>IF(OR(G58="",I58=""),"",G58-I58)</f>
        <v/>
      </c>
    </row>
    <row r="59"/>
    <row r="60"/>
    <row r="61">
      <c r="A61" s="28" t="inlineStr">
        <is>
          <t>COMO USARLO</t>
        </is>
      </c>
    </row>
    <row r="62">
      <c r="A62" s="29" t="inlineStr">
        <is>
          <t>•  Rellena las columnas AZULES cada dia: Fecha, Op #, Dia op., Activo, Rend. trade % y Ganancia ($).</t>
        </is>
      </c>
    </row>
    <row r="63">
      <c r="A63" s="29" t="inlineStr">
        <is>
          <t>•  Op # = numero de operacion (1,2,3...).  Dia op. = numero de dia operado (si haces 2 trades el mismo dia, repite el mismo numero).</t>
        </is>
      </c>
    </row>
    <row r="64">
      <c r="A64" s="29" t="inlineStr">
        <is>
          <t>•  Rend. trade % = rendimiento del contrato (venta-compra)/compra.  % s/ capital = cuanto ganaste ese dia respecto al capital previo (compara con el 10%).</t>
        </is>
      </c>
    </row>
    <row r="65">
      <c r="A65" s="29" t="inlineStr">
        <is>
          <t>•  Balance, % s/ capital, Balance objetivo y Dif. vs plan se calculan solos.  Verde = vas por encima del plan; rojo = por debajo.</t>
        </is>
      </c>
    </row>
    <row r="66">
      <c r="A66" s="29" t="inlineStr">
        <is>
          <t>•  Los precios de compra/venta NO se guardan en la tabla, solo el %.  Usa la calculadora de la derecha para obtenerlo.</t>
        </is>
      </c>
    </row>
  </sheetData>
  <mergeCells count="3">
    <mergeCell ref="A1:J1"/>
    <mergeCell ref="L4:M4"/>
    <mergeCell ref="A2:J2"/>
  </mergeCells>
  <conditionalFormatting sqref="J9:J5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9:H58">
    <cfRule type="cellIs" priority="3" operator="greaterThanOrEqual" dxfId="0">
      <formula>0.1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</cols>
  <sheetData>
    <row r="1">
      <c r="A1" s="1" t="inlineStr">
        <is>
          <t>PLAN OBJETIVO  ·  Crecimiento 10% diario</t>
        </is>
      </c>
    </row>
    <row r="2">
      <c r="A2" s="2" t="inlineStr">
        <is>
          <t>Proyeccion de referencia. Cambia la tasa o el capital y toda la curva se recalcula.</t>
        </is>
      </c>
    </row>
    <row r="3">
      <c r="A3" s="9" t="inlineStr">
        <is>
          <t>Tasa diaria objetivo</t>
        </is>
      </c>
      <c r="B3" s="30" t="n">
        <v>0.1</v>
      </c>
    </row>
    <row r="4">
      <c r="A4" s="9" t="inlineStr">
        <is>
          <t>Capital inicial</t>
        </is>
      </c>
      <c r="B4" s="31">
        <f>'Registro real'!B4</f>
        <v/>
      </c>
    </row>
    <row r="5"/>
    <row r="6">
      <c r="A6" s="12" t="inlineStr">
        <is>
          <t>Dia</t>
        </is>
      </c>
      <c r="B6" s="12" t="inlineStr">
        <is>
          <t>Ganancia objetivo</t>
        </is>
      </c>
      <c r="C6" s="12" t="inlineStr">
        <is>
          <t>Balance objetivo</t>
        </is>
      </c>
    </row>
    <row r="7">
      <c r="A7" s="32" t="n">
        <v>0</v>
      </c>
      <c r="B7" s="32" t="inlineStr">
        <is>
          <t>—</t>
        </is>
      </c>
      <c r="C7" s="33">
        <f>B4</f>
        <v/>
      </c>
    </row>
    <row r="8">
      <c r="A8" s="34" t="n">
        <v>1</v>
      </c>
      <c r="B8" s="35">
        <f>C7*$B$3</f>
        <v/>
      </c>
      <c r="C8" s="25">
        <f>C7*(1+$B$3)</f>
        <v/>
      </c>
    </row>
    <row r="9">
      <c r="A9" s="32" t="n">
        <v>2</v>
      </c>
      <c r="B9" s="33">
        <f>C8*$B$3</f>
        <v/>
      </c>
      <c r="C9" s="18">
        <f>C8*(1+$B$3)</f>
        <v/>
      </c>
    </row>
    <row r="10">
      <c r="A10" s="34" t="n">
        <v>3</v>
      </c>
      <c r="B10" s="35">
        <f>C9*$B$3</f>
        <v/>
      </c>
      <c r="C10" s="25">
        <f>C9*(1+$B$3)</f>
        <v/>
      </c>
    </row>
    <row r="11">
      <c r="A11" s="32" t="n">
        <v>4</v>
      </c>
      <c r="B11" s="33">
        <f>C10*$B$3</f>
        <v/>
      </c>
      <c r="C11" s="18">
        <f>C10*(1+$B$3)</f>
        <v/>
      </c>
    </row>
    <row r="12">
      <c r="A12" s="34" t="n">
        <v>5</v>
      </c>
      <c r="B12" s="35">
        <f>C11*$B$3</f>
        <v/>
      </c>
      <c r="C12" s="25">
        <f>C11*(1+$B$3)</f>
        <v/>
      </c>
    </row>
    <row r="13">
      <c r="A13" s="32" t="n">
        <v>6</v>
      </c>
      <c r="B13" s="33">
        <f>C12*$B$3</f>
        <v/>
      </c>
      <c r="C13" s="18">
        <f>C12*(1+$B$3)</f>
        <v/>
      </c>
    </row>
    <row r="14">
      <c r="A14" s="34" t="n">
        <v>7</v>
      </c>
      <c r="B14" s="35">
        <f>C13*$B$3</f>
        <v/>
      </c>
      <c r="C14" s="25">
        <f>C13*(1+$B$3)</f>
        <v/>
      </c>
    </row>
    <row r="15">
      <c r="A15" s="32" t="n">
        <v>8</v>
      </c>
      <c r="B15" s="33">
        <f>C14*$B$3</f>
        <v/>
      </c>
      <c r="C15" s="18">
        <f>C14*(1+$B$3)</f>
        <v/>
      </c>
    </row>
    <row r="16">
      <c r="A16" s="34" t="n">
        <v>9</v>
      </c>
      <c r="B16" s="35">
        <f>C15*$B$3</f>
        <v/>
      </c>
      <c r="C16" s="25">
        <f>C15*(1+$B$3)</f>
        <v/>
      </c>
    </row>
    <row r="17">
      <c r="A17" s="32" t="n">
        <v>10</v>
      </c>
      <c r="B17" s="33">
        <f>C16*$B$3</f>
        <v/>
      </c>
      <c r="C17" s="18">
        <f>C16*(1+$B$3)</f>
        <v/>
      </c>
    </row>
    <row r="18">
      <c r="A18" s="34" t="n">
        <v>11</v>
      </c>
      <c r="B18" s="35">
        <f>C17*$B$3</f>
        <v/>
      </c>
      <c r="C18" s="25">
        <f>C17*(1+$B$3)</f>
        <v/>
      </c>
    </row>
    <row r="19">
      <c r="A19" s="32" t="n">
        <v>12</v>
      </c>
      <c r="B19" s="33">
        <f>C18*$B$3</f>
        <v/>
      </c>
      <c r="C19" s="18">
        <f>C18*(1+$B$3)</f>
        <v/>
      </c>
    </row>
    <row r="20">
      <c r="A20" s="34" t="n">
        <v>13</v>
      </c>
      <c r="B20" s="35">
        <f>C19*$B$3</f>
        <v/>
      </c>
      <c r="C20" s="25">
        <f>C19*(1+$B$3)</f>
        <v/>
      </c>
    </row>
    <row r="21">
      <c r="A21" s="32" t="n">
        <v>14</v>
      </c>
      <c r="B21" s="33">
        <f>C20*$B$3</f>
        <v/>
      </c>
      <c r="C21" s="18">
        <f>C20*(1+$B$3)</f>
        <v/>
      </c>
    </row>
    <row r="22">
      <c r="A22" s="34" t="n">
        <v>15</v>
      </c>
      <c r="B22" s="35">
        <f>C21*$B$3</f>
        <v/>
      </c>
      <c r="C22" s="25">
        <f>C21*(1+$B$3)</f>
        <v/>
      </c>
    </row>
    <row r="23">
      <c r="A23" s="32" t="n">
        <v>16</v>
      </c>
      <c r="B23" s="33">
        <f>C22*$B$3</f>
        <v/>
      </c>
      <c r="C23" s="18">
        <f>C22*(1+$B$3)</f>
        <v/>
      </c>
    </row>
    <row r="24">
      <c r="A24" s="34" t="n">
        <v>17</v>
      </c>
      <c r="B24" s="35">
        <f>C23*$B$3</f>
        <v/>
      </c>
      <c r="C24" s="25">
        <f>C23*(1+$B$3)</f>
        <v/>
      </c>
    </row>
    <row r="25">
      <c r="A25" s="32" t="n">
        <v>18</v>
      </c>
      <c r="B25" s="33">
        <f>C24*$B$3</f>
        <v/>
      </c>
      <c r="C25" s="18">
        <f>C24*(1+$B$3)</f>
        <v/>
      </c>
    </row>
    <row r="26">
      <c r="A26" s="34" t="n">
        <v>19</v>
      </c>
      <c r="B26" s="35">
        <f>C25*$B$3</f>
        <v/>
      </c>
      <c r="C26" s="25">
        <f>C25*(1+$B$3)</f>
        <v/>
      </c>
    </row>
    <row r="27">
      <c r="A27" s="32" t="n">
        <v>20</v>
      </c>
      <c r="B27" s="33">
        <f>C26*$B$3</f>
        <v/>
      </c>
      <c r="C27" s="18">
        <f>C26*(1+$B$3)</f>
        <v/>
      </c>
    </row>
    <row r="28">
      <c r="A28" s="34" t="n">
        <v>21</v>
      </c>
      <c r="B28" s="35">
        <f>C27*$B$3</f>
        <v/>
      </c>
      <c r="C28" s="25">
        <f>C27*(1+$B$3)</f>
        <v/>
      </c>
    </row>
    <row r="29">
      <c r="A29" s="32" t="n">
        <v>22</v>
      </c>
      <c r="B29" s="33">
        <f>C28*$B$3</f>
        <v/>
      </c>
      <c r="C29" s="18">
        <f>C28*(1+$B$3)</f>
        <v/>
      </c>
    </row>
    <row r="30">
      <c r="A30" s="34" t="n">
        <v>23</v>
      </c>
      <c r="B30" s="35">
        <f>C29*$B$3</f>
        <v/>
      </c>
      <c r="C30" s="25">
        <f>C29*(1+$B$3)</f>
        <v/>
      </c>
    </row>
    <row r="31">
      <c r="A31" s="32" t="n">
        <v>24</v>
      </c>
      <c r="B31" s="33">
        <f>C30*$B$3</f>
        <v/>
      </c>
      <c r="C31" s="18">
        <f>C30*(1+$B$3)</f>
        <v/>
      </c>
    </row>
    <row r="32">
      <c r="A32" s="34" t="n">
        <v>25</v>
      </c>
      <c r="B32" s="35">
        <f>C31*$B$3</f>
        <v/>
      </c>
      <c r="C32" s="25">
        <f>C31*(1+$B$3)</f>
        <v/>
      </c>
    </row>
    <row r="33">
      <c r="A33" s="32" t="n">
        <v>26</v>
      </c>
      <c r="B33" s="33">
        <f>C32*$B$3</f>
        <v/>
      </c>
      <c r="C33" s="18">
        <f>C32*(1+$B$3)</f>
        <v/>
      </c>
    </row>
    <row r="34">
      <c r="A34" s="34" t="n">
        <v>27</v>
      </c>
      <c r="B34" s="35">
        <f>C33*$B$3</f>
        <v/>
      </c>
      <c r="C34" s="25">
        <f>C33*(1+$B$3)</f>
        <v/>
      </c>
    </row>
    <row r="35">
      <c r="A35" s="32" t="n">
        <v>28</v>
      </c>
      <c r="B35" s="33">
        <f>C34*$B$3</f>
        <v/>
      </c>
      <c r="C35" s="18">
        <f>C34*(1+$B$3)</f>
        <v/>
      </c>
    </row>
    <row r="36">
      <c r="A36" s="34" t="n">
        <v>29</v>
      </c>
      <c r="B36" s="35">
        <f>C35*$B$3</f>
        <v/>
      </c>
      <c r="C36" s="25">
        <f>C35*(1+$B$3)</f>
        <v/>
      </c>
    </row>
    <row r="37">
      <c r="A37" s="32" t="n">
        <v>30</v>
      </c>
      <c r="B37" s="33">
        <f>C36*$B$3</f>
        <v/>
      </c>
      <c r="C37" s="18">
        <f>C36*(1+$B$3)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2026-07-17T14:51:58Z</dcterms:created>
  <dcterms:modified xmlns:dcterms="http://purl.org/dc/terms/" xmlns:xsi="http://www.w3.org/2001/XMLSchema-instance" xsi:type="dcterms:W3CDTF">2026-07-17T14:51:58Z</dcterms:modified>
</cp:coreProperties>
</file>